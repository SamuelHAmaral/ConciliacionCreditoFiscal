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80" sheetId="1" r:id="rId1"/>
  </sheets>
  <calcPr calcId="124519" fullCalcOnLoad="1"/>
</workbook>
</file>

<file path=xl/sharedStrings.xml><?xml version="1.0" encoding="utf-8"?>
<sst xmlns="http://schemas.openxmlformats.org/spreadsheetml/2006/main" count="517" uniqueCount="233">
  <si>
    <t>Cuenta</t>
  </si>
  <si>
    <t>Fecha</t>
  </si>
  <si>
    <t>Ag</t>
  </si>
  <si>
    <t>Asiento</t>
  </si>
  <si>
    <t>Descripción</t>
  </si>
  <si>
    <t>Débitos</t>
  </si>
  <si>
    <t>Créditos</t>
  </si>
  <si>
    <t>GS.</t>
  </si>
  <si>
    <t>Nro. Identific.</t>
  </si>
  <si>
    <t>Razón Social</t>
  </si>
  <si>
    <t>Nro. Comprobante</t>
  </si>
  <si>
    <t>Imponible 10</t>
  </si>
  <si>
    <t>IVA 10</t>
  </si>
  <si>
    <t>CRUCE</t>
  </si>
  <si>
    <t>1280</t>
  </si>
  <si>
    <t>00</t>
  </si>
  <si>
    <t>126433</t>
  </si>
  <si>
    <t>TRANSF. AMAZON (PARTE 4) - 0000003004</t>
  </si>
  <si>
    <t xml:space="preserve">4              </t>
  </si>
  <si>
    <t>AMAZON Web Services Desarrollo</t>
  </si>
  <si>
    <t>30/04/2026</t>
  </si>
  <si>
    <t>2564863665</t>
  </si>
  <si>
    <t>299224</t>
  </si>
  <si>
    <t>SERVICIO DIGITAL (AMAZON) - ABRIL 2026 -</t>
  </si>
  <si>
    <t>80002201</t>
  </si>
  <si>
    <t>BANCO ITAU PARAGUAY S.A</t>
  </si>
  <si>
    <t>29</t>
  </si>
  <si>
    <t>258915</t>
  </si>
  <si>
    <t>TRANSF. CLEARSTREAM INVEST - ABR 26 - 00</t>
  </si>
  <si>
    <t xml:space="preserve">98             </t>
  </si>
  <si>
    <t>CLEARSTREAM</t>
  </si>
  <si>
    <t>15/04/2026</t>
  </si>
  <si>
    <t>172921577</t>
  </si>
  <si>
    <t>214697</t>
  </si>
  <si>
    <t>TRANSF. APPLE PAY - 0000002404</t>
  </si>
  <si>
    <t xml:space="preserve">113            </t>
  </si>
  <si>
    <t>APPLE PAY</t>
  </si>
  <si>
    <t>24/04/2026</t>
  </si>
  <si>
    <t>65161828</t>
  </si>
  <si>
    <t>126434</t>
  </si>
  <si>
    <t>TRANSF. AMAZON (PARTE 3) - 0000003004</t>
  </si>
  <si>
    <t>2576539073</t>
  </si>
  <si>
    <t>258914</t>
  </si>
  <si>
    <t>TRANSF. CLEARSTREAM TESO - ABR 26 - 0000</t>
  </si>
  <si>
    <t>172920148</t>
  </si>
  <si>
    <t>551</t>
  </si>
  <si>
    <t>TRANSF. CIRION - 0000002704</t>
  </si>
  <si>
    <t xml:space="preserve">14             </t>
  </si>
  <si>
    <t>Cirion Technologies do Brasil Ltda</t>
  </si>
  <si>
    <t>27/04/2026</t>
  </si>
  <si>
    <t>298298</t>
  </si>
  <si>
    <t>214711</t>
  </si>
  <si>
    <t>TRANSF. CHUS SANZ - 0000002404</t>
  </si>
  <si>
    <t xml:space="preserve">95             </t>
  </si>
  <si>
    <t>CHUS SANZ</t>
  </si>
  <si>
    <t>110</t>
  </si>
  <si>
    <t>181606</t>
  </si>
  <si>
    <t>SERVICIO DIGITAL (K21) - ABRIL 2026 - 00</t>
  </si>
  <si>
    <t>1</t>
  </si>
  <si>
    <t>229391</t>
  </si>
  <si>
    <t>TRANSF. BLOOMBERG - ABR 26 - 0000001404</t>
  </si>
  <si>
    <t xml:space="preserve">10             </t>
  </si>
  <si>
    <t>Bloomberg Finance LP</t>
  </si>
  <si>
    <t>14/04/2026</t>
  </si>
  <si>
    <t>5609529611</t>
  </si>
  <si>
    <t>214694</t>
  </si>
  <si>
    <t>65161831</t>
  </si>
  <si>
    <t>214702</t>
  </si>
  <si>
    <t>TRANSF. DOXA - 0000002404</t>
  </si>
  <si>
    <t xml:space="preserve">115            </t>
  </si>
  <si>
    <t>DOXA LEARNING S.R.L.</t>
  </si>
  <si>
    <t>900000029</t>
  </si>
  <si>
    <t>229404</t>
  </si>
  <si>
    <t>TRANSF. SWIFT PLD - 0000001404</t>
  </si>
  <si>
    <t xml:space="preserve">55             </t>
  </si>
  <si>
    <t>SWIFT PLD</t>
  </si>
  <si>
    <t>5060176992</t>
  </si>
  <si>
    <t>290485</t>
  </si>
  <si>
    <t>TRANSF. BRQ 34773 - 0000002804</t>
  </si>
  <si>
    <t>BRQ Soluções em Informática S.A.</t>
  </si>
  <si>
    <t>28/04/2026</t>
  </si>
  <si>
    <t>34773</t>
  </si>
  <si>
    <t>136434</t>
  </si>
  <si>
    <t>TRANSF. ANTONIO LIMA - 0000000704</t>
  </si>
  <si>
    <t xml:space="preserve">66             </t>
  </si>
  <si>
    <t>ANTONIO LIMA</t>
  </si>
  <si>
    <t>07/04/2026</t>
  </si>
  <si>
    <t>27</t>
  </si>
  <si>
    <t>290540</t>
  </si>
  <si>
    <t>TRANSF. BRQ 34676 - 0000002804</t>
  </si>
  <si>
    <t>34676</t>
  </si>
  <si>
    <t>216503</t>
  </si>
  <si>
    <t>TRANSF. TAM - 0000003004</t>
  </si>
  <si>
    <t xml:space="preserve">56             </t>
  </si>
  <si>
    <t>TAM</t>
  </si>
  <si>
    <t>10004271</t>
  </si>
  <si>
    <t>216504</t>
  </si>
  <si>
    <t>10004224</t>
  </si>
  <si>
    <t>214699</t>
  </si>
  <si>
    <t>65161826</t>
  </si>
  <si>
    <t>241788</t>
  </si>
  <si>
    <t>TRANSF. SWIFT OIT - 0000001304</t>
  </si>
  <si>
    <t>SWIFT OIT</t>
  </si>
  <si>
    <t>13/04/2026</t>
  </si>
  <si>
    <t>258912</t>
  </si>
  <si>
    <t>TRANSF. SILVIA CALVANI - 0000001504</t>
  </si>
  <si>
    <t xml:space="preserve">79             </t>
  </si>
  <si>
    <t>SILVIA CALVANI</t>
  </si>
  <si>
    <t>300000001</t>
  </si>
  <si>
    <t>258905</t>
  </si>
  <si>
    <t>TRANSF. AMERICAN AIRLINES - 0000001504</t>
  </si>
  <si>
    <t xml:space="preserve">5              </t>
  </si>
  <si>
    <t>AMERICAN AIRLINES</t>
  </si>
  <si>
    <t>9902544540</t>
  </si>
  <si>
    <t>136522</t>
  </si>
  <si>
    <t>TRANSF. APPLE PAY - 0000002804</t>
  </si>
  <si>
    <t>29/04/2026</t>
  </si>
  <si>
    <t>65161830</t>
  </si>
  <si>
    <t>550</t>
  </si>
  <si>
    <t>15592</t>
  </si>
  <si>
    <t>136523</t>
  </si>
  <si>
    <t>65161829</t>
  </si>
  <si>
    <t>355388</t>
  </si>
  <si>
    <t>TRANSF. ARTHUR COX- ABR 26 - 0000003004</t>
  </si>
  <si>
    <t>ARTHUR COX</t>
  </si>
  <si>
    <t>1147468</t>
  </si>
  <si>
    <t>430</t>
  </si>
  <si>
    <t>TRANSF. CLIFFOR CHASE - 0000003004</t>
  </si>
  <si>
    <t>CLIFFOR CHACE PLD</t>
  </si>
  <si>
    <t>075-811-0033757</t>
  </si>
  <si>
    <t>126436</t>
  </si>
  <si>
    <t>TRANSF. AMAZON ABRIL 26 (PARTE 1 ) - 000</t>
  </si>
  <si>
    <t>2565397561</t>
  </si>
  <si>
    <t>214698</t>
  </si>
  <si>
    <t>65161827</t>
  </si>
  <si>
    <t>355380</t>
  </si>
  <si>
    <t>TRANSF. CARUSO 217 - 0000003004</t>
  </si>
  <si>
    <t xml:space="preserve">12             </t>
  </si>
  <si>
    <t>CARUSO</t>
  </si>
  <si>
    <t>217</t>
  </si>
  <si>
    <t>258904</t>
  </si>
  <si>
    <t>TRANSF. UDEMY - 0000001504</t>
  </si>
  <si>
    <t xml:space="preserve">67             </t>
  </si>
  <si>
    <t>UDEMY</t>
  </si>
  <si>
    <t>98181</t>
  </si>
  <si>
    <t>355390</t>
  </si>
  <si>
    <t>TRANSF. APRYSE - 0000003004</t>
  </si>
  <si>
    <t xml:space="preserve">137            </t>
  </si>
  <si>
    <t>APRYSE</t>
  </si>
  <si>
    <t>105702</t>
  </si>
  <si>
    <t>229423</t>
  </si>
  <si>
    <t>TRANSF. FICO - 0000001404</t>
  </si>
  <si>
    <t xml:space="preserve">17             </t>
  </si>
  <si>
    <t>FICO</t>
  </si>
  <si>
    <t>680217</t>
  </si>
  <si>
    <t>136731</t>
  </si>
  <si>
    <t>TRANSF. PISMO - 0000002904</t>
  </si>
  <si>
    <t>PISMO</t>
  </si>
  <si>
    <t>53042026</t>
  </si>
  <si>
    <t>136439</t>
  </si>
  <si>
    <t>TRANSF. PISMO - 0000000704</t>
  </si>
  <si>
    <t>52032026</t>
  </si>
  <si>
    <t>229422</t>
  </si>
  <si>
    <t>TRANSF. DEEP PAYMENTS - 0000001404</t>
  </si>
  <si>
    <t xml:space="preserve">96             </t>
  </si>
  <si>
    <t>DEEP PAYMENTS</t>
  </si>
  <si>
    <t>1388</t>
  </si>
  <si>
    <t>126435</t>
  </si>
  <si>
    <t>TRANSF. AMAZON ABRIL 26 (PARTE 2 ) - 000</t>
  </si>
  <si>
    <t>2576745289</t>
  </si>
  <si>
    <t>239596</t>
  </si>
  <si>
    <t>Retenciones MASTERCARD - 0000000123</t>
  </si>
  <si>
    <t>17/04/2026</t>
  </si>
  <si>
    <t>001-001-0000001</t>
  </si>
  <si>
    <t>214897</t>
  </si>
  <si>
    <t>TRANSF. BAIN_1146 - ABR 26 - 0000001504</t>
  </si>
  <si>
    <t xml:space="preserve">7              </t>
  </si>
  <si>
    <t>BAIN</t>
  </si>
  <si>
    <t>16/04/2026</t>
  </si>
  <si>
    <t>1146</t>
  </si>
  <si>
    <t>214898</t>
  </si>
  <si>
    <t>TRANSF. BAIN_1148 - ABR 26 - 0000001504</t>
  </si>
  <si>
    <t>1148</t>
  </si>
  <si>
    <t>126302</t>
  </si>
  <si>
    <t>RETENCIONES VISA - 0000000123</t>
  </si>
  <si>
    <t>214701</t>
  </si>
  <si>
    <t>TRANSF. BAIN_1147 - ABR 26 - 0000002404</t>
  </si>
  <si>
    <t>1147</t>
  </si>
  <si>
    <t>18224</t>
  </si>
  <si>
    <t>REGULARIZACION DIF. DC - 0000000123</t>
  </si>
  <si>
    <t>3</t>
  </si>
  <si>
    <t>VIVIAMOR |Regul./otros|FEES M</t>
  </si>
  <si>
    <t>2</t>
  </si>
  <si>
    <t>VIVIAMOR |Regul./otros|FEE CUSTODIA M</t>
  </si>
  <si>
    <t>9</t>
  </si>
  <si>
    <t>GABRIEME |Regul./otros|Gtos viajes est M</t>
  </si>
  <si>
    <t>8</t>
  </si>
  <si>
    <t>GABRIEME |Regul./otros|Capacit. Person M</t>
  </si>
  <si>
    <t>45997</t>
  </si>
  <si>
    <t>214695</t>
  </si>
  <si>
    <t>214696</t>
  </si>
  <si>
    <t>178215</t>
  </si>
  <si>
    <t>HONORARIOS PROFESIONALES CASTRO - 000003</t>
  </si>
  <si>
    <t>239595</t>
  </si>
  <si>
    <t>501</t>
  </si>
  <si>
    <t>45998</t>
  </si>
  <si>
    <t>45996</t>
  </si>
  <si>
    <t>239597</t>
  </si>
  <si>
    <t>Retenciones AMEX - 0000000123</t>
  </si>
  <si>
    <t>188557</t>
  </si>
  <si>
    <t>ITAU_IVA_InteresAbs-NEW-USD-222444 - 002</t>
  </si>
  <si>
    <t>134467</t>
  </si>
  <si>
    <t>ITAU_IVA_InteresAbs-NEW-USD-222136 - 002</t>
  </si>
  <si>
    <t>188565</t>
  </si>
  <si>
    <t>ITAU_IVA_InteresAbs-NEW-USD-222446 - 002</t>
  </si>
  <si>
    <t>185925</t>
  </si>
  <si>
    <t>RETENCIONES APLICADAS A LOS PAGOS REALIZ</t>
  </si>
  <si>
    <t>188549</t>
  </si>
  <si>
    <t>ITAU_IVA_InteresAbs-NEW-USD-222441 - 002</t>
  </si>
  <si>
    <t>277809</t>
  </si>
  <si>
    <t>ITAU_IVA_InteresAbs-NEW-USD-221969 - 002</t>
  </si>
  <si>
    <t>126301</t>
  </si>
  <si>
    <t>RETENCION VISA - 0000000123</t>
  </si>
  <si>
    <t>277821</t>
  </si>
  <si>
    <t>ITAU_IVA_InteresAbs-NEW-USD-222156 - 002</t>
  </si>
  <si>
    <t>299155</t>
  </si>
  <si>
    <t>ITAU_IVA_InteresAbs-NEW-USD-212601 - 002</t>
  </si>
  <si>
    <t>131255</t>
  </si>
  <si>
    <t>Pago IVA Marzo 2025 - 0000000123</t>
  </si>
  <si>
    <t xml:space="preserve">93992          </t>
  </si>
  <si>
    <t>CARLOS EDUARDO DE CASTRO</t>
  </si>
  <si>
    <t>01/04/2026</t>
  </si>
  <si>
    <t>46247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</si>
</sst>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cols>
    <col min="1" max="1" width="10.7109375" style="1" customWidth="1"/>
    <col min="2" max="2" width="12.7109375" style="1" customWidth="1"/>
    <col min="3" max="4" width="10.7109375" style="1" customWidth="1"/>
    <col min="5" max="5" width="42.7109375" style="1" customWidth="1"/>
    <col min="6" max="6" width="14.7109375" style="2" customWidth="1"/>
    <col min="7" max="9" width="10.7109375" style="1" customWidth="1"/>
    <col min="10" max="10" width="17.7109375" style="1" customWidth="1"/>
    <col min="11" max="11" width="36.7109375" style="1" customWidth="1"/>
    <col min="12" max="12" width="13.7109375" style="1" customWidth="1"/>
    <col min="13" max="13" width="17.7109375" style="1" customWidth="1"/>
    <col min="14" max="14" width="14.7109375" style="2" customWidth="1"/>
    <col min="15" max="15" width="13.7109375" style="2" customWidth="1"/>
    <col min="16" max="16" width="10.7109375" style="2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3" t="s">
        <v>9</v>
      </c>
      <c r="L1" s="3" t="s">
        <v>1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>
      <c r="A2" s="1" t="s">
        <v>14</v>
      </c>
      <c r="B2" s="1">
        <v>46142</v>
      </c>
      <c r="C2" s="1" t="s">
        <v>15</v>
      </c>
      <c r="D2" s="1" t="s">
        <v>16</v>
      </c>
      <c r="E2" s="1" t="s">
        <v>17</v>
      </c>
      <c r="F2" s="2">
        <v>12349</v>
      </c>
      <c r="G2" s="1"/>
      <c r="H2" s="1"/>
      <c r="I2" s="1" t="s">
        <v>7</v>
      </c>
      <c r="J2" s="1" t="s">
        <v>18</v>
      </c>
      <c r="K2" s="1" t="s">
        <v>19</v>
      </c>
      <c r="L2" s="1" t="s">
        <v>20</v>
      </c>
      <c r="M2" s="1" t="s">
        <v>21</v>
      </c>
      <c r="N2" s="2">
        <v>123490</v>
      </c>
      <c r="O2" s="2">
        <v>12349</v>
      </c>
      <c r="P2" s="2">
        <f>F2-O2</f>
        <v>0</v>
      </c>
    </row>
    <row r="3" spans="1:16">
      <c r="A3" s="1" t="s">
        <v>14</v>
      </c>
      <c r="B3" s="1">
        <v>46142</v>
      </c>
      <c r="C3" s="1" t="s">
        <v>15</v>
      </c>
      <c r="D3" s="1" t="s">
        <v>22</v>
      </c>
      <c r="E3" s="1" t="s">
        <v>23</v>
      </c>
      <c r="F3" s="2">
        <v>25630</v>
      </c>
      <c r="G3" s="1"/>
      <c r="H3" s="1"/>
      <c r="I3" s="1" t="s">
        <v>7</v>
      </c>
      <c r="J3" s="1" t="s">
        <v>24</v>
      </c>
      <c r="K3" s="1" t="s">
        <v>25</v>
      </c>
      <c r="L3" s="1" t="s">
        <v>20</v>
      </c>
      <c r="M3" s="1" t="s">
        <v>26</v>
      </c>
      <c r="N3" s="2">
        <v>256300</v>
      </c>
      <c r="O3" s="2">
        <v>25630</v>
      </c>
      <c r="P3" s="2">
        <f>F3-O3</f>
        <v>0</v>
      </c>
    </row>
    <row r="4" spans="1:16">
      <c r="A4" s="1" t="s">
        <v>14</v>
      </c>
      <c r="B4" s="1">
        <v>46127</v>
      </c>
      <c r="C4" s="1" t="s">
        <v>15</v>
      </c>
      <c r="D4" s="1" t="s">
        <v>27</v>
      </c>
      <c r="E4" s="1" t="s">
        <v>28</v>
      </c>
      <c r="F4" s="2">
        <v>29558</v>
      </c>
      <c r="G4" s="1"/>
      <c r="H4" s="1"/>
      <c r="I4" s="1" t="s">
        <v>7</v>
      </c>
      <c r="J4" s="1" t="s">
        <v>29</v>
      </c>
      <c r="K4" s="1" t="s">
        <v>30</v>
      </c>
      <c r="L4" s="1" t="s">
        <v>31</v>
      </c>
      <c r="M4" s="1" t="s">
        <v>32</v>
      </c>
      <c r="N4" s="2">
        <v>295580</v>
      </c>
      <c r="O4" s="2">
        <v>29558</v>
      </c>
      <c r="P4" s="2">
        <f>F4-O4</f>
        <v>0</v>
      </c>
    </row>
    <row r="5" spans="1:16">
      <c r="A5" s="1" t="s">
        <v>14</v>
      </c>
      <c r="B5" s="1">
        <v>46136</v>
      </c>
      <c r="C5" s="1" t="s">
        <v>15</v>
      </c>
      <c r="D5" s="1" t="s">
        <v>33</v>
      </c>
      <c r="E5" s="1" t="s">
        <v>34</v>
      </c>
      <c r="F5" s="2">
        <v>86747</v>
      </c>
      <c r="G5" s="1"/>
      <c r="H5" s="1"/>
      <c r="I5" s="1" t="s">
        <v>7</v>
      </c>
      <c r="J5" s="1" t="s">
        <v>35</v>
      </c>
      <c r="K5" s="1" t="s">
        <v>36</v>
      </c>
      <c r="L5" s="1" t="s">
        <v>37</v>
      </c>
      <c r="M5" s="1" t="s">
        <v>38</v>
      </c>
      <c r="N5" s="2">
        <v>867470</v>
      </c>
      <c r="O5" s="2">
        <v>86747</v>
      </c>
      <c r="P5" s="2">
        <f>F5-O5</f>
        <v>0</v>
      </c>
    </row>
    <row r="6" spans="1:16">
      <c r="A6" s="1" t="s">
        <v>14</v>
      </c>
      <c r="B6" s="1">
        <v>46142</v>
      </c>
      <c r="C6" s="1" t="s">
        <v>15</v>
      </c>
      <c r="D6" s="1" t="s">
        <v>39</v>
      </c>
      <c r="E6" s="1" t="s">
        <v>40</v>
      </c>
      <c r="F6" s="2">
        <v>134626</v>
      </c>
      <c r="G6" s="1"/>
      <c r="H6" s="1"/>
      <c r="I6" s="1" t="s">
        <v>7</v>
      </c>
      <c r="J6" s="1" t="s">
        <v>18</v>
      </c>
      <c r="K6" s="1" t="s">
        <v>19</v>
      </c>
      <c r="L6" s="1" t="s">
        <v>20</v>
      </c>
      <c r="M6" s="1" t="s">
        <v>41</v>
      </c>
      <c r="N6" s="2">
        <v>1346260</v>
      </c>
      <c r="O6" s="2">
        <v>134626</v>
      </c>
      <c r="P6" s="2">
        <f>F6-O6</f>
        <v>0</v>
      </c>
    </row>
    <row r="7" spans="1:16">
      <c r="A7" s="1" t="s">
        <v>14</v>
      </c>
      <c r="B7" s="1">
        <v>46127</v>
      </c>
      <c r="C7" s="1" t="s">
        <v>15</v>
      </c>
      <c r="D7" s="1" t="s">
        <v>42</v>
      </c>
      <c r="E7" s="1" t="s">
        <v>43</v>
      </c>
      <c r="F7" s="2">
        <v>145189</v>
      </c>
      <c r="G7" s="1"/>
      <c r="H7" s="1"/>
      <c r="I7" s="1" t="s">
        <v>7</v>
      </c>
      <c r="J7" s="1" t="s">
        <v>29</v>
      </c>
      <c r="K7" s="1" t="s">
        <v>30</v>
      </c>
      <c r="L7" s="1" t="s">
        <v>31</v>
      </c>
      <c r="M7" s="1" t="s">
        <v>44</v>
      </c>
      <c r="N7" s="2">
        <v>1451890</v>
      </c>
      <c r="O7" s="2">
        <v>145189</v>
      </c>
      <c r="P7" s="2">
        <f>F7-O7</f>
        <v>0</v>
      </c>
    </row>
    <row r="8" spans="1:16">
      <c r="A8" s="1" t="s">
        <v>14</v>
      </c>
      <c r="B8" s="1">
        <v>46139</v>
      </c>
      <c r="C8" s="1" t="s">
        <v>15</v>
      </c>
      <c r="D8" s="1" t="s">
        <v>45</v>
      </c>
      <c r="E8" s="1" t="s">
        <v>46</v>
      </c>
      <c r="F8" s="2">
        <v>201087</v>
      </c>
      <c r="G8" s="1"/>
      <c r="H8" s="1"/>
      <c r="I8" s="1" t="s">
        <v>7</v>
      </c>
      <c r="J8" s="1" t="s">
        <v>47</v>
      </c>
      <c r="K8" s="1" t="s">
        <v>48</v>
      </c>
      <c r="L8" s="1" t="s">
        <v>49</v>
      </c>
      <c r="M8" s="1" t="s">
        <v>50</v>
      </c>
      <c r="N8" s="2">
        <v>2010870</v>
      </c>
      <c r="O8" s="2">
        <v>201087</v>
      </c>
      <c r="P8" s="2">
        <f>F8-O8</f>
        <v>0</v>
      </c>
    </row>
    <row r="9" spans="1:16">
      <c r="A9" s="1" t="s">
        <v>14</v>
      </c>
      <c r="B9" s="1">
        <v>46136</v>
      </c>
      <c r="C9" s="1" t="s">
        <v>15</v>
      </c>
      <c r="D9" s="1" t="s">
        <v>51</v>
      </c>
      <c r="E9" s="1" t="s">
        <v>52</v>
      </c>
      <c r="F9" s="2">
        <v>318780</v>
      </c>
      <c r="G9" s="1"/>
      <c r="H9" s="1"/>
      <c r="I9" s="1" t="s">
        <v>7</v>
      </c>
      <c r="J9" s="1" t="s">
        <v>53</v>
      </c>
      <c r="K9" s="1" t="s">
        <v>54</v>
      </c>
      <c r="L9" s="1" t="s">
        <v>37</v>
      </c>
      <c r="M9" s="1" t="s">
        <v>55</v>
      </c>
      <c r="N9" s="2">
        <v>3187800</v>
      </c>
      <c r="O9" s="2">
        <v>318780</v>
      </c>
      <c r="P9" s="2">
        <f>F9-O9</f>
        <v>0</v>
      </c>
    </row>
    <row r="10" spans="1:16">
      <c r="A10" s="1" t="s">
        <v>14</v>
      </c>
      <c r="B10" s="1">
        <v>46142</v>
      </c>
      <c r="C10" s="1" t="s">
        <v>15</v>
      </c>
      <c r="D10" s="1" t="s">
        <v>56</v>
      </c>
      <c r="E10" s="1" t="s">
        <v>57</v>
      </c>
      <c r="F10" s="2">
        <v>586343</v>
      </c>
      <c r="G10" s="1"/>
      <c r="H10" s="1"/>
      <c r="I10" s="1" t="s">
        <v>7</v>
      </c>
      <c r="J10" s="1" t="s">
        <v>24</v>
      </c>
      <c r="K10" s="1" t="s">
        <v>25</v>
      </c>
      <c r="L10" s="1" t="s">
        <v>20</v>
      </c>
      <c r="M10" s="1" t="s">
        <v>58</v>
      </c>
      <c r="N10" s="2">
        <v>5863430</v>
      </c>
      <c r="O10" s="2">
        <v>586343</v>
      </c>
      <c r="P10" s="2">
        <f>F10-O10</f>
        <v>0</v>
      </c>
    </row>
    <row r="11" spans="1:16">
      <c r="A11" s="1" t="s">
        <v>14</v>
      </c>
      <c r="B11" s="1">
        <v>46126</v>
      </c>
      <c r="C11" s="1" t="s">
        <v>15</v>
      </c>
      <c r="D11" s="1" t="s">
        <v>59</v>
      </c>
      <c r="E11" s="1" t="s">
        <v>60</v>
      </c>
      <c r="F11" s="2">
        <v>650500</v>
      </c>
      <c r="G11" s="1"/>
      <c r="H11" s="1"/>
      <c r="I11" s="1" t="s">
        <v>7</v>
      </c>
      <c r="J11" s="1" t="s">
        <v>61</v>
      </c>
      <c r="K11" s="1" t="s">
        <v>62</v>
      </c>
      <c r="L11" s="1" t="s">
        <v>63</v>
      </c>
      <c r="M11" s="1" t="s">
        <v>64</v>
      </c>
      <c r="N11" s="2">
        <v>6505000</v>
      </c>
      <c r="O11" s="2">
        <v>650500</v>
      </c>
      <c r="P11" s="2">
        <f>F11-O11</f>
        <v>0</v>
      </c>
    </row>
    <row r="12" spans="1:16">
      <c r="A12" s="1" t="s">
        <v>14</v>
      </c>
      <c r="B12" s="1">
        <v>46136</v>
      </c>
      <c r="C12" s="1" t="s">
        <v>15</v>
      </c>
      <c r="D12" s="1" t="s">
        <v>65</v>
      </c>
      <c r="E12" s="1" t="s">
        <v>34</v>
      </c>
      <c r="F12" s="2">
        <v>738662</v>
      </c>
      <c r="G12" s="1"/>
      <c r="H12" s="1"/>
      <c r="I12" s="1" t="s">
        <v>7</v>
      </c>
      <c r="J12" s="1" t="s">
        <v>35</v>
      </c>
      <c r="K12" s="1" t="s">
        <v>36</v>
      </c>
      <c r="L12" s="1" t="s">
        <v>37</v>
      </c>
      <c r="M12" s="1" t="s">
        <v>66</v>
      </c>
      <c r="N12" s="2">
        <v>7386620</v>
      </c>
      <c r="O12" s="2">
        <v>738662</v>
      </c>
      <c r="P12" s="2">
        <f>F12-O12</f>
        <v>0</v>
      </c>
    </row>
    <row r="13" spans="1:16">
      <c r="A13" s="1" t="s">
        <v>14</v>
      </c>
      <c r="B13" s="1">
        <v>46136</v>
      </c>
      <c r="C13" s="1" t="s">
        <v>15</v>
      </c>
      <c r="D13" s="1" t="s">
        <v>67</v>
      </c>
      <c r="E13" s="1" t="s">
        <v>68</v>
      </c>
      <c r="F13" s="2">
        <v>1056160</v>
      </c>
      <c r="G13" s="1"/>
      <c r="H13" s="1"/>
      <c r="I13" s="1" t="s">
        <v>7</v>
      </c>
      <c r="J13" s="1" t="s">
        <v>69</v>
      </c>
      <c r="K13" s="1" t="s">
        <v>70</v>
      </c>
      <c r="L13" s="1" t="s">
        <v>37</v>
      </c>
      <c r="M13" s="1" t="s">
        <v>71</v>
      </c>
      <c r="N13" s="2">
        <v>10561600</v>
      </c>
      <c r="O13" s="2">
        <v>1056160</v>
      </c>
      <c r="P13" s="2">
        <f>F13-O13</f>
        <v>0</v>
      </c>
    </row>
    <row r="14" spans="1:16">
      <c r="A14" s="1" t="s">
        <v>14</v>
      </c>
      <c r="B14" s="1">
        <v>46126</v>
      </c>
      <c r="C14" s="1" t="s">
        <v>15</v>
      </c>
      <c r="D14" s="1" t="s">
        <v>72</v>
      </c>
      <c r="E14" s="1" t="s">
        <v>73</v>
      </c>
      <c r="F14" s="2">
        <v>1145772</v>
      </c>
      <c r="G14" s="1"/>
      <c r="H14" s="1"/>
      <c r="I14" s="1" t="s">
        <v>7</v>
      </c>
      <c r="J14" s="1" t="s">
        <v>74</v>
      </c>
      <c r="K14" s="1" t="s">
        <v>75</v>
      </c>
      <c r="L14" s="1" t="s">
        <v>63</v>
      </c>
      <c r="M14" s="1" t="s">
        <v>76</v>
      </c>
      <c r="N14" s="2">
        <v>11457720</v>
      </c>
      <c r="O14" s="2">
        <v>1145772</v>
      </c>
      <c r="P14" s="2">
        <f>F14-O14</f>
        <v>0</v>
      </c>
    </row>
    <row r="15" spans="1:16">
      <c r="A15" s="1" t="s">
        <v>14</v>
      </c>
      <c r="B15" s="1">
        <v>46140</v>
      </c>
      <c r="C15" s="1" t="s">
        <v>15</v>
      </c>
      <c r="D15" s="1" t="s">
        <v>77</v>
      </c>
      <c r="E15" s="1" t="s">
        <v>78</v>
      </c>
      <c r="F15" s="2">
        <v>1363250</v>
      </c>
      <c r="G15" s="1"/>
      <c r="H15" s="1"/>
      <c r="I15" s="1" t="s">
        <v>7</v>
      </c>
      <c r="J15" s="1" t="s">
        <v>35</v>
      </c>
      <c r="K15" s="1" t="s">
        <v>79</v>
      </c>
      <c r="L15" s="1" t="s">
        <v>80</v>
      </c>
      <c r="M15" s="1" t="s">
        <v>81</v>
      </c>
      <c r="N15" s="2">
        <v>13632500</v>
      </c>
      <c r="O15" s="2">
        <v>1363250</v>
      </c>
      <c r="P15" s="2">
        <f>F15-O15</f>
        <v>0</v>
      </c>
    </row>
    <row r="16" spans="1:16">
      <c r="A16" s="1" t="s">
        <v>14</v>
      </c>
      <c r="B16" s="1">
        <v>46119</v>
      </c>
      <c r="C16" s="1" t="s">
        <v>15</v>
      </c>
      <c r="D16" s="1" t="s">
        <v>82</v>
      </c>
      <c r="E16" s="1" t="s">
        <v>83</v>
      </c>
      <c r="F16" s="2">
        <v>1503225</v>
      </c>
      <c r="G16" s="1"/>
      <c r="H16" s="1"/>
      <c r="I16" s="1" t="s">
        <v>7</v>
      </c>
      <c r="J16" s="1" t="s">
        <v>84</v>
      </c>
      <c r="K16" s="1" t="s">
        <v>85</v>
      </c>
      <c r="L16" s="1" t="s">
        <v>86</v>
      </c>
      <c r="M16" s="1" t="s">
        <v>87</v>
      </c>
      <c r="N16" s="2">
        <v>15032250</v>
      </c>
      <c r="O16" s="2">
        <v>1503225</v>
      </c>
      <c r="P16" s="2">
        <f>F16-O16</f>
        <v>0</v>
      </c>
    </row>
    <row r="17" spans="1:16">
      <c r="A17" s="1" t="s">
        <v>14</v>
      </c>
      <c r="B17" s="1">
        <v>46140</v>
      </c>
      <c r="C17" s="1" t="s">
        <v>15</v>
      </c>
      <c r="D17" s="1" t="s">
        <v>88</v>
      </c>
      <c r="E17" s="1" t="s">
        <v>89</v>
      </c>
      <c r="F17" s="2">
        <v>1735372</v>
      </c>
      <c r="G17" s="1"/>
      <c r="H17" s="1"/>
      <c r="I17" s="1" t="s">
        <v>7</v>
      </c>
      <c r="J17" s="1" t="s">
        <v>35</v>
      </c>
      <c r="K17" s="1" t="s">
        <v>79</v>
      </c>
      <c r="L17" s="1" t="s">
        <v>80</v>
      </c>
      <c r="M17" s="1" t="s">
        <v>90</v>
      </c>
      <c r="N17" s="2">
        <v>17353720</v>
      </c>
      <c r="O17" s="2">
        <v>1735372</v>
      </c>
      <c r="P17" s="2">
        <f>F17-O17</f>
        <v>0</v>
      </c>
    </row>
    <row r="18" spans="1:16">
      <c r="A18" s="1" t="s">
        <v>14</v>
      </c>
      <c r="B18" s="1">
        <v>46142</v>
      </c>
      <c r="C18" s="1" t="s">
        <v>15</v>
      </c>
      <c r="D18" s="1" t="s">
        <v>91</v>
      </c>
      <c r="E18" s="1" t="s">
        <v>92</v>
      </c>
      <c r="F18" s="2">
        <v>2003135</v>
      </c>
      <c r="G18" s="1"/>
      <c r="H18" s="1"/>
      <c r="I18" s="1" t="s">
        <v>7</v>
      </c>
      <c r="J18" s="1" t="s">
        <v>93</v>
      </c>
      <c r="K18" s="1" t="s">
        <v>94</v>
      </c>
      <c r="L18" s="1" t="s">
        <v>20</v>
      </c>
      <c r="M18" s="1" t="s">
        <v>95</v>
      </c>
      <c r="N18" s="2">
        <v>20031350</v>
      </c>
      <c r="O18" s="2">
        <v>2003135</v>
      </c>
      <c r="P18" s="2">
        <f>F18-O18</f>
        <v>0</v>
      </c>
    </row>
    <row r="19" spans="1:16">
      <c r="A19" s="1" t="s">
        <v>14</v>
      </c>
      <c r="B19" s="1">
        <v>46142</v>
      </c>
      <c r="C19" s="1" t="s">
        <v>15</v>
      </c>
      <c r="D19" s="1" t="s">
        <v>96</v>
      </c>
      <c r="E19" s="1" t="s">
        <v>92</v>
      </c>
      <c r="F19" s="2">
        <v>2293131</v>
      </c>
      <c r="G19" s="1"/>
      <c r="H19" s="1"/>
      <c r="I19" s="1" t="s">
        <v>7</v>
      </c>
      <c r="J19" s="1" t="s">
        <v>93</v>
      </c>
      <c r="K19" s="1" t="s">
        <v>94</v>
      </c>
      <c r="L19" s="1" t="s">
        <v>20</v>
      </c>
      <c r="M19" s="1" t="s">
        <v>97</v>
      </c>
      <c r="N19" s="2">
        <v>22931310</v>
      </c>
      <c r="O19" s="2">
        <v>2293131</v>
      </c>
      <c r="P19" s="2">
        <f>F19-O19</f>
        <v>0</v>
      </c>
    </row>
    <row r="20" spans="1:16">
      <c r="A20" s="1" t="s">
        <v>14</v>
      </c>
      <c r="B20" s="1">
        <v>46136</v>
      </c>
      <c r="C20" s="1" t="s">
        <v>15</v>
      </c>
      <c r="D20" s="1" t="s">
        <v>98</v>
      </c>
      <c r="E20" s="1" t="s">
        <v>34</v>
      </c>
      <c r="F20" s="2">
        <v>2352693</v>
      </c>
      <c r="G20" s="1"/>
      <c r="H20" s="1"/>
      <c r="I20" s="1" t="s">
        <v>7</v>
      </c>
      <c r="J20" s="1" t="s">
        <v>35</v>
      </c>
      <c r="K20" s="1" t="s">
        <v>36</v>
      </c>
      <c r="L20" s="1" t="s">
        <v>37</v>
      </c>
      <c r="M20" s="1" t="s">
        <v>99</v>
      </c>
      <c r="N20" s="2">
        <v>23526930</v>
      </c>
      <c r="O20" s="2">
        <v>2352693</v>
      </c>
      <c r="P20" s="2">
        <f>F20-O20</f>
        <v>0</v>
      </c>
    </row>
    <row r="21" spans="1:16">
      <c r="A21" s="1" t="s">
        <v>14</v>
      </c>
      <c r="B21" s="1">
        <v>46125</v>
      </c>
      <c r="C21" s="1" t="s">
        <v>15</v>
      </c>
      <c r="D21" s="1" t="s">
        <v>100</v>
      </c>
      <c r="E21" s="1" t="s">
        <v>101</v>
      </c>
      <c r="F21" s="2">
        <v>2574330</v>
      </c>
      <c r="G21" s="1"/>
      <c r="H21" s="1"/>
      <c r="I21" s="1" t="s">
        <v>7</v>
      </c>
      <c r="J21" s="1" t="s">
        <v>74</v>
      </c>
      <c r="K21" s="1" t="s">
        <v>102</v>
      </c>
      <c r="L21" s="1" t="s">
        <v>103</v>
      </c>
      <c r="M21" s="1" t="s">
        <v>76</v>
      </c>
      <c r="N21" s="2">
        <v>25743300</v>
      </c>
      <c r="O21" s="2">
        <v>2574330</v>
      </c>
      <c r="P21" s="2">
        <f>F21-O21</f>
        <v>0</v>
      </c>
    </row>
    <row r="22" spans="1:16">
      <c r="A22" s="1" t="s">
        <v>14</v>
      </c>
      <c r="B22" s="1">
        <v>46127</v>
      </c>
      <c r="C22" s="1" t="s">
        <v>15</v>
      </c>
      <c r="D22" s="1" t="s">
        <v>104</v>
      </c>
      <c r="E22" s="1" t="s">
        <v>105</v>
      </c>
      <c r="F22" s="2">
        <v>3265686</v>
      </c>
      <c r="G22" s="1"/>
      <c r="H22" s="1"/>
      <c r="I22" s="1" t="s">
        <v>7</v>
      </c>
      <c r="J22" s="1" t="s">
        <v>106</v>
      </c>
      <c r="K22" s="1" t="s">
        <v>107</v>
      </c>
      <c r="L22" s="1" t="s">
        <v>31</v>
      </c>
      <c r="M22" s="1" t="s">
        <v>108</v>
      </c>
      <c r="N22" s="2">
        <v>32656860</v>
      </c>
      <c r="O22" s="2">
        <v>3265686</v>
      </c>
      <c r="P22" s="2">
        <f>F22-O22</f>
        <v>0</v>
      </c>
    </row>
    <row r="23" spans="1:16">
      <c r="A23" s="1" t="s">
        <v>14</v>
      </c>
      <c r="B23" s="1">
        <v>46127</v>
      </c>
      <c r="C23" s="1" t="s">
        <v>15</v>
      </c>
      <c r="D23" s="1" t="s">
        <v>109</v>
      </c>
      <c r="E23" s="1" t="s">
        <v>110</v>
      </c>
      <c r="F23" s="2">
        <v>3543620</v>
      </c>
      <c r="G23" s="1"/>
      <c r="H23" s="1"/>
      <c r="I23" s="1" t="s">
        <v>7</v>
      </c>
      <c r="J23" s="1" t="s">
        <v>111</v>
      </c>
      <c r="K23" s="1" t="s">
        <v>112</v>
      </c>
      <c r="L23" s="1" t="s">
        <v>31</v>
      </c>
      <c r="M23" s="1" t="s">
        <v>113</v>
      </c>
      <c r="N23" s="2">
        <v>35436200</v>
      </c>
      <c r="O23" s="2">
        <v>3543620</v>
      </c>
      <c r="P23" s="2">
        <f>F23-O23</f>
        <v>0</v>
      </c>
    </row>
    <row r="24" spans="1:16">
      <c r="A24" s="1" t="s">
        <v>14</v>
      </c>
      <c r="B24" s="1">
        <v>46141</v>
      </c>
      <c r="C24" s="1" t="s">
        <v>15</v>
      </c>
      <c r="D24" s="1" t="s">
        <v>114</v>
      </c>
      <c r="E24" s="1" t="s">
        <v>115</v>
      </c>
      <c r="F24" s="2">
        <v>5341014</v>
      </c>
      <c r="G24" s="1"/>
      <c r="H24" s="1"/>
      <c r="I24" s="1" t="s">
        <v>7</v>
      </c>
      <c r="J24" s="1" t="s">
        <v>35</v>
      </c>
      <c r="K24" s="1" t="s">
        <v>36</v>
      </c>
      <c r="L24" s="1" t="s">
        <v>116</v>
      </c>
      <c r="M24" s="1" t="s">
        <v>117</v>
      </c>
      <c r="N24" s="2">
        <v>53410140</v>
      </c>
      <c r="O24" s="2">
        <v>5341014</v>
      </c>
      <c r="P24" s="2">
        <f>F24-O24</f>
        <v>0</v>
      </c>
    </row>
    <row r="25" spans="1:16">
      <c r="A25" s="1" t="s">
        <v>14</v>
      </c>
      <c r="B25" s="1">
        <v>46139</v>
      </c>
      <c r="C25" s="1" t="s">
        <v>15</v>
      </c>
      <c r="D25" s="1" t="s">
        <v>118</v>
      </c>
      <c r="E25" s="1" t="s">
        <v>46</v>
      </c>
      <c r="F25" s="2">
        <v>5475945</v>
      </c>
      <c r="G25" s="1"/>
      <c r="H25" s="1"/>
      <c r="I25" s="1" t="s">
        <v>7</v>
      </c>
      <c r="J25" s="1" t="s">
        <v>47</v>
      </c>
      <c r="K25" s="1" t="s">
        <v>48</v>
      </c>
      <c r="L25" s="1" t="s">
        <v>49</v>
      </c>
      <c r="M25" s="1" t="s">
        <v>119</v>
      </c>
      <c r="N25" s="2">
        <v>54759450</v>
      </c>
      <c r="O25" s="2">
        <v>5475945</v>
      </c>
      <c r="P25" s="2">
        <f>F25-O25</f>
        <v>0</v>
      </c>
    </row>
    <row r="26" spans="1:16">
      <c r="A26" s="1" t="s">
        <v>14</v>
      </c>
      <c r="B26" s="1">
        <v>46141</v>
      </c>
      <c r="C26" s="1" t="s">
        <v>15</v>
      </c>
      <c r="D26" s="1" t="s">
        <v>120</v>
      </c>
      <c r="E26" s="1" t="s">
        <v>115</v>
      </c>
      <c r="F26" s="2">
        <v>5526969</v>
      </c>
      <c r="G26" s="1"/>
      <c r="H26" s="1"/>
      <c r="I26" s="1" t="s">
        <v>7</v>
      </c>
      <c r="J26" s="1" t="s">
        <v>35</v>
      </c>
      <c r="K26" s="1" t="s">
        <v>36</v>
      </c>
      <c r="L26" s="1" t="s">
        <v>116</v>
      </c>
      <c r="M26" s="1" t="s">
        <v>121</v>
      </c>
      <c r="N26" s="2">
        <v>55269690</v>
      </c>
      <c r="O26" s="2">
        <v>5526969</v>
      </c>
      <c r="P26" s="2">
        <f>F26-O26</f>
        <v>0</v>
      </c>
    </row>
    <row r="27" spans="1:16">
      <c r="A27" s="1" t="s">
        <v>14</v>
      </c>
      <c r="B27" s="1">
        <v>46142</v>
      </c>
      <c r="C27" s="1" t="s">
        <v>15</v>
      </c>
      <c r="D27" s="1" t="s">
        <v>122</v>
      </c>
      <c r="E27" s="1" t="s">
        <v>123</v>
      </c>
      <c r="F27" s="2">
        <v>5625000</v>
      </c>
      <c r="G27" s="1"/>
      <c r="H27" s="1"/>
      <c r="I27" s="1" t="s">
        <v>7</v>
      </c>
      <c r="J27" s="1" t="s">
        <v>29</v>
      </c>
      <c r="K27" s="1" t="s">
        <v>124</v>
      </c>
      <c r="L27" s="1" t="s">
        <v>20</v>
      </c>
      <c r="M27" s="1" t="s">
        <v>125</v>
      </c>
      <c r="N27" s="2">
        <v>56250000</v>
      </c>
      <c r="O27" s="2">
        <v>5625000</v>
      </c>
      <c r="P27" s="2">
        <f>F27-O27</f>
        <v>0</v>
      </c>
    </row>
    <row r="28" spans="1:16">
      <c r="A28" s="1" t="s">
        <v>14</v>
      </c>
      <c r="B28" s="1">
        <v>46142</v>
      </c>
      <c r="C28" s="1" t="s">
        <v>15</v>
      </c>
      <c r="D28" s="1" t="s">
        <v>126</v>
      </c>
      <c r="E28" s="1" t="s">
        <v>127</v>
      </c>
      <c r="F28" s="2">
        <v>6190000</v>
      </c>
      <c r="G28" s="1"/>
      <c r="H28" s="1"/>
      <c r="I28" s="1" t="s">
        <v>7</v>
      </c>
      <c r="J28" s="1" t="s">
        <v>74</v>
      </c>
      <c r="K28" s="1" t="s">
        <v>128</v>
      </c>
      <c r="L28" s="1" t="s">
        <v>20</v>
      </c>
      <c r="M28" s="1" t="s">
        <v>129</v>
      </c>
      <c r="N28" s="2">
        <v>61900000</v>
      </c>
      <c r="O28" s="2">
        <v>6190000</v>
      </c>
      <c r="P28" s="2">
        <f>F28-O28</f>
        <v>0</v>
      </c>
    </row>
    <row r="29" spans="1:16">
      <c r="A29" s="1" t="s">
        <v>14</v>
      </c>
      <c r="B29" s="1">
        <v>46142</v>
      </c>
      <c r="C29" s="1" t="s">
        <v>15</v>
      </c>
      <c r="D29" s="1" t="s">
        <v>130</v>
      </c>
      <c r="E29" s="1" t="s">
        <v>131</v>
      </c>
      <c r="F29" s="2">
        <v>8337930</v>
      </c>
      <c r="G29" s="1"/>
      <c r="H29" s="1"/>
      <c r="I29" s="1" t="s">
        <v>7</v>
      </c>
      <c r="J29" s="1" t="s">
        <v>18</v>
      </c>
      <c r="K29" s="1" t="s">
        <v>19</v>
      </c>
      <c r="L29" s="1" t="s">
        <v>20</v>
      </c>
      <c r="M29" s="1" t="s">
        <v>132</v>
      </c>
      <c r="N29" s="2">
        <v>83379300</v>
      </c>
      <c r="O29" s="2">
        <v>8337930</v>
      </c>
      <c r="P29" s="2">
        <f>F29-O29</f>
        <v>0</v>
      </c>
    </row>
    <row r="30" spans="1:16">
      <c r="A30" s="1" t="s">
        <v>14</v>
      </c>
      <c r="B30" s="1">
        <v>46136</v>
      </c>
      <c r="C30" s="1" t="s">
        <v>15</v>
      </c>
      <c r="D30" s="1" t="s">
        <v>133</v>
      </c>
      <c r="E30" s="1" t="s">
        <v>34</v>
      </c>
      <c r="F30" s="2">
        <v>9232062</v>
      </c>
      <c r="G30" s="1"/>
      <c r="H30" s="1"/>
      <c r="I30" s="1" t="s">
        <v>7</v>
      </c>
      <c r="J30" s="1" t="s">
        <v>35</v>
      </c>
      <c r="K30" s="1" t="s">
        <v>36</v>
      </c>
      <c r="L30" s="1" t="s">
        <v>37</v>
      </c>
      <c r="M30" s="1" t="s">
        <v>134</v>
      </c>
      <c r="N30" s="2">
        <v>92320620</v>
      </c>
      <c r="O30" s="2">
        <v>9232062</v>
      </c>
      <c r="P30" s="2">
        <f>F30-O30</f>
        <v>0</v>
      </c>
    </row>
    <row r="31" spans="1:16">
      <c r="A31" s="1" t="s">
        <v>14</v>
      </c>
      <c r="B31" s="1">
        <v>46142</v>
      </c>
      <c r="C31" s="1" t="s">
        <v>15</v>
      </c>
      <c r="D31" s="1" t="s">
        <v>135</v>
      </c>
      <c r="E31" s="1" t="s">
        <v>136</v>
      </c>
      <c r="F31" s="2">
        <v>11637200</v>
      </c>
      <c r="G31" s="1"/>
      <c r="H31" s="1"/>
      <c r="I31" s="1" t="s">
        <v>7</v>
      </c>
      <c r="J31" s="1" t="s">
        <v>137</v>
      </c>
      <c r="K31" s="1" t="s">
        <v>138</v>
      </c>
      <c r="L31" s="1" t="s">
        <v>20</v>
      </c>
      <c r="M31" s="1" t="s">
        <v>139</v>
      </c>
      <c r="N31" s="2">
        <v>116372000</v>
      </c>
      <c r="O31" s="2">
        <v>11637200</v>
      </c>
      <c r="P31" s="2">
        <f>F31-O31</f>
        <v>0</v>
      </c>
    </row>
    <row r="32" spans="1:16">
      <c r="A32" s="1" t="s">
        <v>14</v>
      </c>
      <c r="B32" s="1">
        <v>46127</v>
      </c>
      <c r="C32" s="1" t="s">
        <v>15</v>
      </c>
      <c r="D32" s="1" t="s">
        <v>140</v>
      </c>
      <c r="E32" s="1" t="s">
        <v>141</v>
      </c>
      <c r="F32" s="2">
        <v>13801875</v>
      </c>
      <c r="G32" s="1"/>
      <c r="H32" s="1"/>
      <c r="I32" s="1" t="s">
        <v>7</v>
      </c>
      <c r="J32" s="1" t="s">
        <v>142</v>
      </c>
      <c r="K32" s="1" t="s">
        <v>143</v>
      </c>
      <c r="L32" s="1" t="s">
        <v>31</v>
      </c>
      <c r="M32" s="1" t="s">
        <v>144</v>
      </c>
      <c r="N32" s="2">
        <v>138018750</v>
      </c>
      <c r="O32" s="2">
        <v>13801875</v>
      </c>
      <c r="P32" s="2">
        <f>F32-O32</f>
        <v>0</v>
      </c>
    </row>
    <row r="33" spans="1:16">
      <c r="A33" s="1" t="s">
        <v>14</v>
      </c>
      <c r="B33" s="1">
        <v>46142</v>
      </c>
      <c r="C33" s="1" t="s">
        <v>15</v>
      </c>
      <c r="D33" s="1" t="s">
        <v>145</v>
      </c>
      <c r="E33" s="1" t="s">
        <v>146</v>
      </c>
      <c r="F33" s="2">
        <v>14877455</v>
      </c>
      <c r="G33" s="1"/>
      <c r="H33" s="1"/>
      <c r="I33" s="1" t="s">
        <v>7</v>
      </c>
      <c r="J33" s="1" t="s">
        <v>147</v>
      </c>
      <c r="K33" s="1" t="s">
        <v>148</v>
      </c>
      <c r="L33" s="1" t="s">
        <v>20</v>
      </c>
      <c r="M33" s="1" t="s">
        <v>149</v>
      </c>
      <c r="N33" s="2">
        <v>148774550</v>
      </c>
      <c r="O33" s="2">
        <v>14877455</v>
      </c>
      <c r="P33" s="2">
        <f>F33-O33</f>
        <v>0</v>
      </c>
    </row>
    <row r="34" spans="1:16">
      <c r="A34" s="1" t="s">
        <v>14</v>
      </c>
      <c r="B34" s="1">
        <v>46126</v>
      </c>
      <c r="C34" s="1" t="s">
        <v>15</v>
      </c>
      <c r="D34" s="1" t="s">
        <v>150</v>
      </c>
      <c r="E34" s="1" t="s">
        <v>151</v>
      </c>
      <c r="F34" s="2">
        <v>18542372</v>
      </c>
      <c r="G34" s="1"/>
      <c r="H34" s="1"/>
      <c r="I34" s="1" t="s">
        <v>7</v>
      </c>
      <c r="J34" s="1" t="s">
        <v>152</v>
      </c>
      <c r="K34" s="1" t="s">
        <v>153</v>
      </c>
      <c r="L34" s="1" t="s">
        <v>63</v>
      </c>
      <c r="M34" s="1" t="s">
        <v>154</v>
      </c>
      <c r="N34" s="2">
        <v>185423720</v>
      </c>
      <c r="O34" s="2">
        <v>18542372</v>
      </c>
      <c r="P34" s="2">
        <f>F34-O34</f>
        <v>0</v>
      </c>
    </row>
    <row r="35" spans="1:16">
      <c r="A35" s="1" t="s">
        <v>14</v>
      </c>
      <c r="B35" s="1">
        <v>46141</v>
      </c>
      <c r="C35" s="1" t="s">
        <v>15</v>
      </c>
      <c r="D35" s="1" t="s">
        <v>155</v>
      </c>
      <c r="E35" s="1" t="s">
        <v>156</v>
      </c>
      <c r="F35" s="2">
        <v>25973221</v>
      </c>
      <c r="G35" s="1"/>
      <c r="H35" s="1"/>
      <c r="I35" s="1" t="s">
        <v>7</v>
      </c>
      <c r="J35" s="1" t="s">
        <v>35</v>
      </c>
      <c r="K35" s="1" t="s">
        <v>157</v>
      </c>
      <c r="L35" s="1" t="s">
        <v>116</v>
      </c>
      <c r="M35" s="1" t="s">
        <v>158</v>
      </c>
      <c r="N35" s="2">
        <v>259732210</v>
      </c>
      <c r="O35" s="2">
        <v>25973221</v>
      </c>
      <c r="P35" s="2">
        <f>F35-O35</f>
        <v>0</v>
      </c>
    </row>
    <row r="36" spans="1:16">
      <c r="A36" s="1" t="s">
        <v>14</v>
      </c>
      <c r="B36" s="1">
        <v>46119</v>
      </c>
      <c r="C36" s="1" t="s">
        <v>15</v>
      </c>
      <c r="D36" s="1" t="s">
        <v>159</v>
      </c>
      <c r="E36" s="1" t="s">
        <v>160</v>
      </c>
      <c r="F36" s="2">
        <v>26982489</v>
      </c>
      <c r="G36" s="1"/>
      <c r="H36" s="1"/>
      <c r="I36" s="1" t="s">
        <v>7</v>
      </c>
      <c r="J36" s="1" t="s">
        <v>24</v>
      </c>
      <c r="K36" s="1" t="s">
        <v>25</v>
      </c>
      <c r="L36" s="1" t="s">
        <v>86</v>
      </c>
      <c r="M36" s="1" t="s">
        <v>161</v>
      </c>
      <c r="N36" s="2">
        <v>269824890</v>
      </c>
      <c r="O36" s="2">
        <v>26982489</v>
      </c>
      <c r="P36" s="2">
        <f>F36-O36</f>
        <v>0</v>
      </c>
    </row>
    <row r="37" spans="1:16">
      <c r="A37" s="1" t="s">
        <v>14</v>
      </c>
      <c r="B37" s="1">
        <v>46126</v>
      </c>
      <c r="C37" s="1" t="s">
        <v>15</v>
      </c>
      <c r="D37" s="1" t="s">
        <v>162</v>
      </c>
      <c r="E37" s="1" t="s">
        <v>163</v>
      </c>
      <c r="F37" s="2">
        <v>31377500</v>
      </c>
      <c r="G37" s="1"/>
      <c r="H37" s="1"/>
      <c r="I37" s="1" t="s">
        <v>7</v>
      </c>
      <c r="J37" s="1" t="s">
        <v>164</v>
      </c>
      <c r="K37" s="1" t="s">
        <v>165</v>
      </c>
      <c r="L37" s="1" t="s">
        <v>63</v>
      </c>
      <c r="M37" s="1" t="s">
        <v>166</v>
      </c>
      <c r="N37" s="2">
        <v>313775000</v>
      </c>
      <c r="O37" s="2">
        <v>31377500</v>
      </c>
      <c r="P37" s="2">
        <f>F37-O37</f>
        <v>0</v>
      </c>
    </row>
    <row r="38" spans="1:16">
      <c r="A38" s="1" t="s">
        <v>14</v>
      </c>
      <c r="B38" s="1">
        <v>46142</v>
      </c>
      <c r="C38" s="1" t="s">
        <v>15</v>
      </c>
      <c r="D38" s="1" t="s">
        <v>167</v>
      </c>
      <c r="E38" s="1" t="s">
        <v>168</v>
      </c>
      <c r="F38" s="2">
        <v>43220443</v>
      </c>
      <c r="G38" s="1"/>
      <c r="H38" s="1"/>
      <c r="I38" s="1" t="s">
        <v>7</v>
      </c>
      <c r="J38" s="1" t="s">
        <v>18</v>
      </c>
      <c r="K38" s="1" t="s">
        <v>19</v>
      </c>
      <c r="L38" s="1" t="s">
        <v>20</v>
      </c>
      <c r="M38" s="1" t="s">
        <v>169</v>
      </c>
      <c r="N38" s="2">
        <v>432204430</v>
      </c>
      <c r="O38" s="2">
        <v>43220443</v>
      </c>
      <c r="P38" s="2">
        <f>F38-O38</f>
        <v>0</v>
      </c>
    </row>
    <row r="39" spans="1:16">
      <c r="A39" s="1" t="s">
        <v>14</v>
      </c>
      <c r="B39" s="1">
        <v>46129</v>
      </c>
      <c r="C39" s="1" t="s">
        <v>15</v>
      </c>
      <c r="D39" s="1" t="s">
        <v>170</v>
      </c>
      <c r="E39" s="1" t="s">
        <v>171</v>
      </c>
      <c r="F39" s="2">
        <v>47947044</v>
      </c>
      <c r="G39" s="1"/>
      <c r="H39" s="1"/>
      <c r="I39" s="1" t="s">
        <v>7</v>
      </c>
      <c r="J39" s="1" t="s">
        <v>24</v>
      </c>
      <c r="K39" s="1" t="s">
        <v>25</v>
      </c>
      <c r="L39" s="1" t="s">
        <v>172</v>
      </c>
      <c r="M39" s="1" t="s">
        <v>173</v>
      </c>
      <c r="N39" s="2">
        <v>479470440</v>
      </c>
      <c r="O39" s="2">
        <v>47947044</v>
      </c>
      <c r="P39" s="2">
        <f>F39-O39</f>
        <v>0</v>
      </c>
    </row>
    <row r="40" spans="1:16">
      <c r="A40" s="1" t="s">
        <v>14</v>
      </c>
      <c r="B40" s="1">
        <v>46128</v>
      </c>
      <c r="C40" s="1" t="s">
        <v>15</v>
      </c>
      <c r="D40" s="1" t="s">
        <v>174</v>
      </c>
      <c r="E40" s="1" t="s">
        <v>175</v>
      </c>
      <c r="F40" s="2">
        <v>73393500</v>
      </c>
      <c r="G40" s="1"/>
      <c r="H40" s="1"/>
      <c r="I40" s="1" t="s">
        <v>7</v>
      </c>
      <c r="J40" s="1" t="s">
        <v>176</v>
      </c>
      <c r="K40" s="1" t="s">
        <v>177</v>
      </c>
      <c r="L40" s="1" t="s">
        <v>178</v>
      </c>
      <c r="M40" s="1" t="s">
        <v>179</v>
      </c>
      <c r="N40" s="2">
        <v>733935000</v>
      </c>
      <c r="O40" s="2">
        <v>73393500</v>
      </c>
      <c r="P40" s="2">
        <f>F40-O40</f>
        <v>0</v>
      </c>
    </row>
    <row r="41" spans="1:16">
      <c r="A41" s="1" t="s">
        <v>14</v>
      </c>
      <c r="B41" s="1">
        <v>46128</v>
      </c>
      <c r="C41" s="1" t="s">
        <v>15</v>
      </c>
      <c r="D41" s="1" t="s">
        <v>180</v>
      </c>
      <c r="E41" s="1" t="s">
        <v>181</v>
      </c>
      <c r="F41" s="2">
        <v>88981500</v>
      </c>
      <c r="G41" s="1"/>
      <c r="H41" s="1"/>
      <c r="I41" s="1" t="s">
        <v>7</v>
      </c>
      <c r="J41" s="1" t="s">
        <v>176</v>
      </c>
      <c r="K41" s="1" t="s">
        <v>177</v>
      </c>
      <c r="L41" s="1" t="s">
        <v>178</v>
      </c>
      <c r="M41" s="1" t="s">
        <v>182</v>
      </c>
      <c r="N41" s="2">
        <v>889815000</v>
      </c>
      <c r="O41" s="2">
        <v>88981500</v>
      </c>
      <c r="P41" s="2">
        <f>F41-O41</f>
        <v>0</v>
      </c>
    </row>
    <row r="42" spans="1:16">
      <c r="A42" s="1" t="s">
        <v>14</v>
      </c>
      <c r="B42" s="1">
        <v>46142</v>
      </c>
      <c r="C42" s="1" t="s">
        <v>15</v>
      </c>
      <c r="D42" s="1" t="s">
        <v>183</v>
      </c>
      <c r="E42" s="1" t="s">
        <v>184</v>
      </c>
      <c r="F42" s="2">
        <v>150011457</v>
      </c>
      <c r="G42" s="1"/>
      <c r="H42" s="1"/>
      <c r="I42" s="1" t="s">
        <v>7</v>
      </c>
      <c r="J42" s="1" t="s">
        <v>24</v>
      </c>
      <c r="K42" s="1" t="s">
        <v>25</v>
      </c>
      <c r="L42" s="1" t="s">
        <v>20</v>
      </c>
      <c r="M42" s="1" t="s">
        <v>173</v>
      </c>
      <c r="N42" s="2">
        <v>1500114570</v>
      </c>
      <c r="O42" s="2">
        <v>150011457</v>
      </c>
      <c r="P42" s="2">
        <f>F42-O42</f>
        <v>0</v>
      </c>
    </row>
    <row r="43" spans="1:16">
      <c r="A43" s="1" t="s">
        <v>14</v>
      </c>
      <c r="B43" s="1">
        <v>46136</v>
      </c>
      <c r="C43" s="1" t="s">
        <v>15</v>
      </c>
      <c r="D43" s="1" t="s">
        <v>185</v>
      </c>
      <c r="E43" s="1" t="s">
        <v>186</v>
      </c>
      <c r="F43" s="2">
        <v>225400000</v>
      </c>
      <c r="G43" s="1"/>
      <c r="H43" s="1"/>
      <c r="I43" s="1" t="s">
        <v>7</v>
      </c>
      <c r="J43" s="1" t="s">
        <v>176</v>
      </c>
      <c r="K43" s="1" t="s">
        <v>177</v>
      </c>
      <c r="L43" s="1" t="s">
        <v>37</v>
      </c>
      <c r="M43" s="1" t="s">
        <v>187</v>
      </c>
      <c r="N43" s="2">
        <v>2254000000</v>
      </c>
      <c r="O43" s="2">
        <v>225400000</v>
      </c>
      <c r="P43" s="2">
        <f>F43-O43</f>
        <v>0</v>
      </c>
    </row>
    <row r="44" spans="1:16">
      <c r="A44" s="1" t="s">
        <v>14</v>
      </c>
      <c r="B44" s="1">
        <v>46127</v>
      </c>
      <c r="C44" s="1" t="s">
        <v>15</v>
      </c>
      <c r="D44" s="1" t="s">
        <v>188</v>
      </c>
      <c r="E44" s="1" t="s">
        <v>189</v>
      </c>
      <c r="F44" s="2">
        <v>299</v>
      </c>
      <c r="G44" s="1"/>
      <c r="H44" s="1"/>
      <c r="I44" s="1" t="s">
        <v>7</v>
      </c>
      <c r="J44" s="1"/>
      <c r="K44" s="1"/>
      <c r="L44" s="1"/>
      <c r="M44" s="1"/>
      <c r="N44" s="1"/>
      <c r="O44" s="1"/>
      <c r="P44" s="2">
        <f>F44-O44</f>
        <v>0</v>
      </c>
    </row>
    <row r="45" spans="1:16">
      <c r="A45" s="1" t="s">
        <v>14</v>
      </c>
      <c r="B45" s="1">
        <v>46125</v>
      </c>
      <c r="C45" s="1" t="s">
        <v>15</v>
      </c>
      <c r="D45" s="1" t="s">
        <v>190</v>
      </c>
      <c r="E45" s="1" t="s">
        <v>191</v>
      </c>
      <c r="F45" s="2">
        <v>81486</v>
      </c>
      <c r="G45" s="1"/>
      <c r="H45" s="1"/>
      <c r="I45" s="1" t="s">
        <v>7</v>
      </c>
      <c r="J45" s="1"/>
      <c r="K45" s="1"/>
      <c r="L45" s="1"/>
      <c r="M45" s="1"/>
      <c r="N45" s="1"/>
      <c r="O45" s="1"/>
      <c r="P45" s="2">
        <f>F45-O45</f>
        <v>0</v>
      </c>
    </row>
    <row r="46" spans="1:16">
      <c r="A46" s="1" t="s">
        <v>14</v>
      </c>
      <c r="B46" s="1">
        <v>46125</v>
      </c>
      <c r="C46" s="1" t="s">
        <v>15</v>
      </c>
      <c r="D46" s="1" t="s">
        <v>192</v>
      </c>
      <c r="E46" s="1" t="s">
        <v>193</v>
      </c>
      <c r="F46" s="2">
        <v>255126</v>
      </c>
      <c r="G46" s="1"/>
      <c r="H46" s="1"/>
      <c r="I46" s="1" t="s">
        <v>7</v>
      </c>
      <c r="J46" s="1"/>
      <c r="K46" s="1"/>
      <c r="L46" s="1"/>
      <c r="M46" s="1"/>
      <c r="N46" s="1"/>
      <c r="O46" s="1"/>
      <c r="P46" s="2">
        <f>F46-O46</f>
        <v>0</v>
      </c>
    </row>
    <row r="47" spans="1:16">
      <c r="A47" s="1" t="s">
        <v>14</v>
      </c>
      <c r="B47" s="1">
        <v>46135</v>
      </c>
      <c r="C47" s="1" t="s">
        <v>15</v>
      </c>
      <c r="D47" s="1" t="s">
        <v>194</v>
      </c>
      <c r="E47" s="1" t="s">
        <v>195</v>
      </c>
      <c r="F47" s="2">
        <v>348338</v>
      </c>
      <c r="G47" s="1"/>
      <c r="H47" s="1"/>
      <c r="I47" s="1" t="s">
        <v>7</v>
      </c>
      <c r="J47" s="1"/>
      <c r="K47" s="1"/>
      <c r="L47" s="1"/>
      <c r="M47" s="1"/>
      <c r="N47" s="1"/>
      <c r="O47" s="1"/>
      <c r="P47" s="2">
        <f>F47-O47</f>
        <v>0</v>
      </c>
    </row>
    <row r="48" spans="1:16">
      <c r="A48" s="1" t="s">
        <v>14</v>
      </c>
      <c r="B48" s="1">
        <v>46135</v>
      </c>
      <c r="C48" s="1" t="s">
        <v>15</v>
      </c>
      <c r="D48" s="1" t="s">
        <v>196</v>
      </c>
      <c r="E48" s="1" t="s">
        <v>197</v>
      </c>
      <c r="F48" s="2">
        <v>696675</v>
      </c>
      <c r="G48" s="1"/>
      <c r="H48" s="1"/>
      <c r="I48" s="1" t="s">
        <v>7</v>
      </c>
      <c r="J48" s="1"/>
      <c r="K48" s="1"/>
      <c r="L48" s="1"/>
      <c r="M48" s="1"/>
      <c r="N48" s="1"/>
      <c r="O48" s="1"/>
      <c r="P48" s="2">
        <f>F48-O48</f>
        <v>0</v>
      </c>
    </row>
    <row r="49" spans="1:16">
      <c r="A49" s="1" t="s">
        <v>14</v>
      </c>
      <c r="B49" s="1">
        <v>46129</v>
      </c>
      <c r="C49" s="1" t="s">
        <v>15</v>
      </c>
      <c r="D49" s="1" t="s">
        <v>198</v>
      </c>
      <c r="E49" s="1" t="s">
        <v>171</v>
      </c>
      <c r="F49" s="2">
        <v>4253813</v>
      </c>
      <c r="G49" s="1"/>
      <c r="H49" s="1"/>
      <c r="I49" s="1" t="s">
        <v>7</v>
      </c>
      <c r="J49" s="1"/>
      <c r="K49" s="1"/>
      <c r="L49" s="1"/>
      <c r="M49" s="1"/>
      <c r="N49" s="1"/>
      <c r="O49" s="1"/>
      <c r="P49" s="2">
        <f>F49-O49</f>
        <v>0</v>
      </c>
    </row>
    <row r="50" spans="1:16">
      <c r="A50" s="1" t="s">
        <v>14</v>
      </c>
      <c r="B50" s="1">
        <v>46136</v>
      </c>
      <c r="C50" s="1" t="s">
        <v>15</v>
      </c>
      <c r="D50" s="1" t="s">
        <v>199</v>
      </c>
      <c r="E50" s="1" t="s">
        <v>34</v>
      </c>
      <c r="F50" s="2">
        <v>5341014</v>
      </c>
      <c r="G50" s="1"/>
      <c r="H50" s="1"/>
      <c r="I50" s="1" t="s">
        <v>7</v>
      </c>
      <c r="J50" s="1"/>
      <c r="K50" s="1"/>
      <c r="L50" s="1"/>
      <c r="M50" s="1"/>
      <c r="N50" s="1"/>
      <c r="O50" s="1"/>
      <c r="P50" s="2">
        <f>F50-O50</f>
        <v>0</v>
      </c>
    </row>
    <row r="51" spans="1:16">
      <c r="A51" s="1" t="s">
        <v>14</v>
      </c>
      <c r="B51" s="1">
        <v>46136</v>
      </c>
      <c r="C51" s="1" t="s">
        <v>15</v>
      </c>
      <c r="D51" s="1" t="s">
        <v>200</v>
      </c>
      <c r="E51" s="1" t="s">
        <v>34</v>
      </c>
      <c r="F51" s="2">
        <v>5526969</v>
      </c>
      <c r="G51" s="1"/>
      <c r="H51" s="1"/>
      <c r="I51" s="1" t="s">
        <v>7</v>
      </c>
      <c r="J51" s="1"/>
      <c r="K51" s="1"/>
      <c r="L51" s="1"/>
      <c r="M51" s="1"/>
      <c r="N51" s="1"/>
      <c r="O51" s="1"/>
      <c r="P51" s="2">
        <f>F51-O51</f>
        <v>0</v>
      </c>
    </row>
    <row r="52" spans="1:16">
      <c r="A52" s="1" t="s">
        <v>14</v>
      </c>
      <c r="B52" s="1">
        <v>46122</v>
      </c>
      <c r="C52" s="1" t="s">
        <v>15</v>
      </c>
      <c r="D52" s="1" t="s">
        <v>201</v>
      </c>
      <c r="E52" s="1" t="s">
        <v>202</v>
      </c>
      <c r="F52" s="2">
        <v>7213716</v>
      </c>
      <c r="G52" s="1"/>
      <c r="H52" s="1"/>
      <c r="I52" s="1" t="s">
        <v>7</v>
      </c>
      <c r="J52" s="1"/>
      <c r="K52" s="1"/>
      <c r="L52" s="1"/>
      <c r="M52" s="1"/>
      <c r="N52" s="1"/>
      <c r="O52" s="1"/>
      <c r="P52" s="2">
        <f>F52-O52</f>
        <v>0</v>
      </c>
    </row>
    <row r="53" spans="1:16">
      <c r="A53" s="1" t="s">
        <v>14</v>
      </c>
      <c r="B53" s="1">
        <v>46129</v>
      </c>
      <c r="C53" s="1" t="s">
        <v>15</v>
      </c>
      <c r="D53" s="1" t="s">
        <v>203</v>
      </c>
      <c r="E53" s="1" t="s">
        <v>171</v>
      </c>
      <c r="F53" s="2">
        <v>27562801</v>
      </c>
      <c r="G53" s="1"/>
      <c r="H53" s="1"/>
      <c r="I53" s="1" t="s">
        <v>7</v>
      </c>
      <c r="J53" s="1"/>
      <c r="K53" s="1"/>
      <c r="L53" s="1"/>
      <c r="M53" s="1"/>
      <c r="N53" s="1"/>
      <c r="O53" s="1"/>
      <c r="P53" s="2">
        <f>F53-O53</f>
        <v>0</v>
      </c>
    </row>
    <row r="54" spans="1:16">
      <c r="A54" s="1" t="s">
        <v>14</v>
      </c>
      <c r="B54" s="1">
        <v>46139</v>
      </c>
      <c r="C54" s="1" t="s">
        <v>15</v>
      </c>
      <c r="D54" s="1" t="s">
        <v>204</v>
      </c>
      <c r="E54" s="1" t="s">
        <v>171</v>
      </c>
      <c r="F54" s="2">
        <v>44273169</v>
      </c>
      <c r="G54" s="1"/>
      <c r="H54" s="1"/>
      <c r="I54" s="1" t="s">
        <v>7</v>
      </c>
      <c r="J54" s="1"/>
      <c r="K54" s="1"/>
      <c r="L54" s="1"/>
      <c r="M54" s="1"/>
      <c r="N54" s="1"/>
      <c r="O54" s="1"/>
      <c r="P54" s="2">
        <f>F54-O54</f>
        <v>0</v>
      </c>
    </row>
    <row r="55" spans="1:16">
      <c r="A55" s="1" t="s">
        <v>14</v>
      </c>
      <c r="B55" s="1">
        <v>46129</v>
      </c>
      <c r="C55" s="1" t="s">
        <v>15</v>
      </c>
      <c r="D55" s="1" t="s">
        <v>205</v>
      </c>
      <c r="E55" s="1" t="s">
        <v>171</v>
      </c>
      <c r="F55" s="2">
        <v>53773291</v>
      </c>
      <c r="G55" s="1"/>
      <c r="H55" s="1"/>
      <c r="I55" s="1" t="s">
        <v>7</v>
      </c>
      <c r="J55" s="1"/>
      <c r="K55" s="1"/>
      <c r="L55" s="1"/>
      <c r="M55" s="1"/>
      <c r="N55" s="1"/>
      <c r="O55" s="1"/>
      <c r="P55" s="2">
        <f>F55-O55</f>
        <v>0</v>
      </c>
    </row>
    <row r="56" spans="1:16">
      <c r="A56" s="1" t="s">
        <v>14</v>
      </c>
      <c r="B56" s="1">
        <v>46129</v>
      </c>
      <c r="C56" s="1" t="s">
        <v>15</v>
      </c>
      <c r="D56" s="1" t="s">
        <v>206</v>
      </c>
      <c r="E56" s="1" t="s">
        <v>171</v>
      </c>
      <c r="F56" s="2">
        <v>61099922</v>
      </c>
      <c r="G56" s="1"/>
      <c r="H56" s="1"/>
      <c r="I56" s="1" t="s">
        <v>7</v>
      </c>
      <c r="J56" s="1"/>
      <c r="K56" s="1"/>
      <c r="L56" s="1"/>
      <c r="M56" s="1"/>
      <c r="N56" s="1"/>
      <c r="O56" s="1"/>
      <c r="P56" s="2">
        <f>F56-O56</f>
        <v>0</v>
      </c>
    </row>
    <row r="57" spans="1:16">
      <c r="A57" s="1" t="s">
        <v>14</v>
      </c>
      <c r="B57" s="1">
        <v>46129</v>
      </c>
      <c r="C57" s="1" t="s">
        <v>15</v>
      </c>
      <c r="D57" s="1" t="s">
        <v>207</v>
      </c>
      <c r="E57" s="1" t="s">
        <v>208</v>
      </c>
      <c r="F57" s="2">
        <v>146631381</v>
      </c>
      <c r="G57" s="1"/>
      <c r="H57" s="1"/>
      <c r="I57" s="1" t="s">
        <v>7</v>
      </c>
      <c r="J57" s="1"/>
      <c r="K57" s="1"/>
      <c r="L57" s="1"/>
      <c r="M57" s="1"/>
      <c r="N57" s="1"/>
      <c r="O57" s="1"/>
      <c r="P57" s="2">
        <f>F57-O57</f>
        <v>0</v>
      </c>
    </row>
    <row r="58" spans="1:16">
      <c r="A58" s="1" t="s">
        <v>14</v>
      </c>
      <c r="B58" s="1">
        <v>46132</v>
      </c>
      <c r="C58" s="1" t="s">
        <v>15</v>
      </c>
      <c r="D58" s="1" t="s">
        <v>209</v>
      </c>
      <c r="E58" s="1" t="s">
        <v>210</v>
      </c>
      <c r="F58" s="2">
        <v>147015652</v>
      </c>
      <c r="G58" s="1"/>
      <c r="H58" s="1"/>
      <c r="I58" s="1" t="s">
        <v>7</v>
      </c>
      <c r="J58" s="1"/>
      <c r="K58" s="1"/>
      <c r="L58" s="1"/>
      <c r="M58" s="1"/>
      <c r="N58" s="1"/>
      <c r="O58" s="1"/>
      <c r="P58" s="2">
        <f>F58-O58</f>
        <v>0</v>
      </c>
    </row>
    <row r="59" spans="1:16">
      <c r="A59" s="1" t="s">
        <v>14</v>
      </c>
      <c r="B59" s="1">
        <v>46128</v>
      </c>
      <c r="C59" s="1" t="s">
        <v>15</v>
      </c>
      <c r="D59" s="1" t="s">
        <v>211</v>
      </c>
      <c r="E59" s="1" t="s">
        <v>212</v>
      </c>
      <c r="F59" s="2">
        <v>149344346</v>
      </c>
      <c r="G59" s="1"/>
      <c r="H59" s="1"/>
      <c r="I59" s="1" t="s">
        <v>7</v>
      </c>
      <c r="J59" s="1"/>
      <c r="K59" s="1"/>
      <c r="L59" s="1"/>
      <c r="M59" s="1"/>
      <c r="N59" s="1"/>
      <c r="O59" s="1"/>
      <c r="P59" s="2">
        <f>F59-O59</f>
        <v>0</v>
      </c>
    </row>
    <row r="60" spans="1:16">
      <c r="A60" s="1" t="s">
        <v>14</v>
      </c>
      <c r="B60" s="1">
        <v>46132</v>
      </c>
      <c r="C60" s="1" t="s">
        <v>15</v>
      </c>
      <c r="D60" s="1" t="s">
        <v>213</v>
      </c>
      <c r="E60" s="1" t="s">
        <v>214</v>
      </c>
      <c r="F60" s="2">
        <v>151901943</v>
      </c>
      <c r="G60" s="1"/>
      <c r="H60" s="1"/>
      <c r="I60" s="1" t="s">
        <v>7</v>
      </c>
      <c r="J60" s="1"/>
      <c r="K60" s="1"/>
      <c r="L60" s="1"/>
      <c r="M60" s="1"/>
      <c r="N60" s="1"/>
      <c r="O60" s="1"/>
      <c r="P60" s="2">
        <f>F60-O60</f>
        <v>0</v>
      </c>
    </row>
    <row r="61" spans="1:16">
      <c r="A61" s="1" t="s">
        <v>14</v>
      </c>
      <c r="B61" s="1">
        <v>46141</v>
      </c>
      <c r="C61" s="1" t="s">
        <v>15</v>
      </c>
      <c r="D61" s="1" t="s">
        <v>215</v>
      </c>
      <c r="E61" s="1" t="s">
        <v>216</v>
      </c>
      <c r="F61" s="2">
        <v>153188253</v>
      </c>
      <c r="G61" s="1"/>
      <c r="H61" s="1"/>
      <c r="I61" s="1" t="s">
        <v>7</v>
      </c>
      <c r="J61" s="1"/>
      <c r="K61" s="1"/>
      <c r="L61" s="1"/>
      <c r="M61" s="1"/>
      <c r="N61" s="1"/>
      <c r="O61" s="1"/>
      <c r="P61" s="2">
        <f>F61-O61</f>
        <v>0</v>
      </c>
    </row>
    <row r="62" spans="1:16">
      <c r="A62" s="1" t="s">
        <v>14</v>
      </c>
      <c r="B62" s="1">
        <v>46132</v>
      </c>
      <c r="C62" s="1" t="s">
        <v>15</v>
      </c>
      <c r="D62" s="1" t="s">
        <v>217</v>
      </c>
      <c r="E62" s="1" t="s">
        <v>218</v>
      </c>
      <c r="F62" s="2">
        <v>155113874</v>
      </c>
      <c r="G62" s="1"/>
      <c r="H62" s="1"/>
      <c r="I62" s="1" t="s">
        <v>7</v>
      </c>
      <c r="J62" s="1"/>
      <c r="K62" s="1"/>
      <c r="L62" s="1"/>
      <c r="M62" s="1"/>
      <c r="N62" s="1"/>
      <c r="O62" s="1"/>
      <c r="P62" s="2">
        <f>F62-O62</f>
        <v>0</v>
      </c>
    </row>
    <row r="63" spans="1:16">
      <c r="A63" s="1" t="s">
        <v>14</v>
      </c>
      <c r="B63" s="1">
        <v>46118</v>
      </c>
      <c r="C63" s="1" t="s">
        <v>15</v>
      </c>
      <c r="D63" s="1" t="s">
        <v>219</v>
      </c>
      <c r="E63" s="1" t="s">
        <v>220</v>
      </c>
      <c r="F63" s="2">
        <v>157440650</v>
      </c>
      <c r="G63" s="1"/>
      <c r="H63" s="1"/>
      <c r="I63" s="1" t="s">
        <v>7</v>
      </c>
      <c r="J63" s="1"/>
      <c r="K63" s="1"/>
      <c r="L63" s="1"/>
      <c r="M63" s="1"/>
      <c r="N63" s="1"/>
      <c r="O63" s="1"/>
      <c r="P63" s="2">
        <f>F63-O63</f>
        <v>0</v>
      </c>
    </row>
    <row r="64" spans="1:16">
      <c r="A64" s="1" t="s">
        <v>14</v>
      </c>
      <c r="B64" s="1">
        <v>46142</v>
      </c>
      <c r="C64" s="1" t="s">
        <v>15</v>
      </c>
      <c r="D64" s="1" t="s">
        <v>221</v>
      </c>
      <c r="E64" s="1" t="s">
        <v>222</v>
      </c>
      <c r="F64" s="2">
        <v>159343070</v>
      </c>
      <c r="G64" s="1"/>
      <c r="H64" s="1"/>
      <c r="I64" s="1" t="s">
        <v>7</v>
      </c>
      <c r="J64" s="1"/>
      <c r="K64" s="1"/>
      <c r="L64" s="1"/>
      <c r="M64" s="1"/>
      <c r="N64" s="1"/>
      <c r="O64" s="1"/>
      <c r="P64" s="2">
        <f>F64-O64</f>
        <v>0</v>
      </c>
    </row>
    <row r="65" spans="1:16">
      <c r="A65" s="1" t="s">
        <v>14</v>
      </c>
      <c r="B65" s="1">
        <v>46118</v>
      </c>
      <c r="C65" s="1" t="s">
        <v>15</v>
      </c>
      <c r="D65" s="1" t="s">
        <v>223</v>
      </c>
      <c r="E65" s="1" t="s">
        <v>224</v>
      </c>
      <c r="F65" s="2">
        <v>311342511</v>
      </c>
      <c r="G65" s="1"/>
      <c r="H65" s="1"/>
      <c r="I65" s="1" t="s">
        <v>7</v>
      </c>
      <c r="J65" s="1"/>
      <c r="K65" s="1"/>
      <c r="L65" s="1"/>
      <c r="M65" s="1"/>
      <c r="N65" s="1"/>
      <c r="O65" s="1"/>
      <c r="P65" s="2">
        <f>F65-O65</f>
        <v>0</v>
      </c>
    </row>
    <row r="66" spans="1:16">
      <c r="A66" s="1" t="s">
        <v>14</v>
      </c>
      <c r="B66" s="1">
        <v>46125</v>
      </c>
      <c r="C66" s="1" t="s">
        <v>15</v>
      </c>
      <c r="D66" s="1" t="s">
        <v>225</v>
      </c>
      <c r="E66" s="1" t="s">
        <v>226</v>
      </c>
      <c r="F66" s="2">
        <v>560399143</v>
      </c>
      <c r="G66" s="1"/>
      <c r="H66" s="1"/>
      <c r="I66" s="1" t="s">
        <v>7</v>
      </c>
      <c r="J66" s="1"/>
      <c r="K66" s="1"/>
      <c r="L66" s="1"/>
      <c r="M66" s="1"/>
      <c r="N66" s="1"/>
      <c r="O66" s="1"/>
      <c r="P66" s="2">
        <f>F66-O66</f>
        <v>0</v>
      </c>
    </row>
    <row r="67" spans="1:16">
      <c r="A67" s="1" t="s">
        <v>14</v>
      </c>
      <c r="B67" s="1">
        <v>46127</v>
      </c>
      <c r="C67" s="1" t="s">
        <v>15</v>
      </c>
      <c r="D67" s="1" t="s">
        <v>227</v>
      </c>
      <c r="E67" s="1" t="s">
        <v>228</v>
      </c>
      <c r="F67" s="2">
        <v>1212653567</v>
      </c>
      <c r="G67" s="1"/>
      <c r="H67" s="1"/>
      <c r="I67" s="1" t="s">
        <v>7</v>
      </c>
      <c r="J67" s="1"/>
      <c r="K67" s="1"/>
      <c r="L67" s="1"/>
      <c r="M67" s="1"/>
      <c r="N67" s="1"/>
      <c r="O67" s="1"/>
      <c r="P67" s="2">
        <f>F67-O67</f>
        <v>0</v>
      </c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 t="s">
        <v>229</v>
      </c>
      <c r="K68" s="1" t="s">
        <v>230</v>
      </c>
      <c r="L68" s="1" t="s">
        <v>231</v>
      </c>
      <c r="M68" s="1" t="s">
        <v>232</v>
      </c>
      <c r="N68" s="2">
        <v>72137160</v>
      </c>
      <c r="O68" s="2">
        <v>7213716</v>
      </c>
      <c r="P68" s="2">
        <f>F68-O68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2026-05-20T18:27:59Z</dcterms:created>
  <dcterms:modified xsi:type="dcterms:W3CDTF">2026-05-20T18:27:59Z</dcterms:modified>
</cp:coreProperties>
</file>